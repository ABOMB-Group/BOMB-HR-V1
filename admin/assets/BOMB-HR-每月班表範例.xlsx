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b81f41bb4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月班表" sheetId="1" r:id="R7d2cde4027084f0f"/>
    <x:sheet xmlns:r="http://schemas.openxmlformats.org/officeDocument/2006/relationships" name="假別代號設定" sheetId="2" r:id="R2f9b4caa7e04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730A3"/>
      <x:name val="Carlito"/>
    </x:font>
    <x:font>
      <x:b/>
      <x:sz val="11"/>
      <x:color rgb="FFFFFFFF"/>
      <x:name val="Carlito"/>
    </x:font>
    <x:font>
      <x:sz val="10"/>
      <x:name val="Microsoft JhengHei"/>
    </x:font>
    <x:font>
      <x:b/>
      <x:sz val="11"/>
      <x:color rgb="FF1E3A8A"/>
      <x:name val="Carlito"/>
    </x:font>
    <x:font>
      <x:b/>
      <x:sz val="11"/>
      <x:color rgb="FF92400E"/>
      <x:name val="Carlito"/>
    </x:font>
    <x:font>
      <x:sz val="11"/>
      <x:color rgb="FF0F172A"/>
      <x:name val="Carlito"/>
    </x:font>
    <x:font>
      <x:sz val="11"/>
      <x:color rgb="FF3730A3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111827"/>
      </x:patternFill>
    </x:fill>
    <x:fill>
      <x:patternFill patternType="solid">
        <x:fgColor rgb="FF312E81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4F46E5"/>
      </x:patternFill>
    </x:fill>
    <x:fill>
      <x:patternFill patternType="solid">
        <x:fgColor rgb="FFFFFFFF"/>
      </x:patternFill>
    </x:fill>
    <x:fill>
      <x:patternFill patternType="solid">
        <x:fgColor rgb="FF312E81"/>
      </x:patternFill>
    </x:fill>
    <x:fill>
      <x:patternFill patternType="solid">
        <x:fgColor rgb="FFEEF2FF"/>
      </x:patternFill>
    </x:fill>
  </x:fills>
  <x:borders count="1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A5B4FC"/>
      </x:left>
      <x:top style="thin">
        <x:color rgb="FFA5B4FC"/>
      </x:top>
    </x:border>
    <x:border>
      <x:top style="thin">
        <x:color rgb="FFA5B4FC"/>
      </x:top>
    </x:border>
    <x:border>
      <x:right style="thin">
        <x:color rgb="FFA5B4FC"/>
      </x:right>
      <x:top style="thin">
        <x:color rgb="FFA5B4FC"/>
      </x:top>
    </x:border>
    <x:border>
      <x:left style="thin">
        <x:color rgb="FFA5B4FC"/>
      </x:left>
    </x:border>
    <x:border>
      <x:right style="thin">
        <x:color rgb="FFA5B4FC"/>
      </x:right>
    </x:border>
    <x:border>
      <x:left style="thin">
        <x:color rgb="FFA5B4FC"/>
      </x:left>
      <x:bottom style="thin">
        <x:color rgb="FFA5B4FC"/>
      </x:bottom>
    </x:border>
    <x:border>
      <x:bottom style="thin">
        <x:color rgb="FFA5B4FC"/>
      </x:bottom>
    </x:border>
    <x:border>
      <x:right style="thin">
        <x:color rgb="FFA5B4FC"/>
      </x:right>
      <x:bottom style="thin">
        <x:color rgb="FFA5B4FC"/>
      </x:bottom>
    </x:border>
  </x:borders>
  <x:cellStyleXfs count="1">
    <x:xf numFmtId="0" fontId="0" fillId="0" borderId="0"/>
  </x:cellStyleXfs>
  <x:cellXfs count="70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" xfId="0" applyNumberFormat="1" applyFont="1" applyFill="1" applyBorder="1"/>
    <x:xf numFmtId="0" fontId="7" fillId="9" borderId="2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4" xfId="0" applyNumberFormat="1" applyFont="1" applyFill="1" applyBorder="1"/>
    <x:xf numFmtId="0" fontId="8" fillId="11" borderId="5" xfId="0" applyNumberFormat="1" applyFont="1" applyFill="1" applyBorder="1"/>
    <x:xf numFmtId="0" fontId="8" fillId="11" borderId="6" xfId="0" applyNumberFormat="1" applyFont="1" applyFill="1" applyBorder="1"/>
    <x:xf numFmtId="0" fontId="8" fillId="11" borderId="7" xfId="0" applyNumberFormat="1" applyFont="1" applyFill="1" applyBorder="1"/>
    <x:xf numFmtId="0" fontId="8" fillId="11" xfId="0" applyNumberFormat="1" applyFont="1" applyFill="1" applyBorder="0"/>
    <x:xf numFmtId="0" fontId="8" fillId="11" borderId="8" xfId="0" applyNumberFormat="1" applyFont="1" applyFill="1" applyBorder="1"/>
    <x:xf numFmtId="0" fontId="8" fillId="11" borderId="9" xfId="0" applyNumberFormat="1" applyFont="1" applyFill="1" applyBorder="1"/>
    <x:xf numFmtId="0" fontId="8" fillId="11" borderId="10" xfId="0" applyNumberFormat="1" applyFont="1" applyFill="1" applyBorder="1"/>
    <x:xf numFmtId="0" fontId="8" fillId="11" borderId="11" xfId="0" applyNumberFormat="1" applyFont="1" applyFill="1" applyBorder="1"/>
    <x:xf numFmtId="0" fontId="8" fillId="11" borderId="4" xfId="0" applyNumberFormat="1" applyFont="1" applyFill="1" applyBorder="1" applyAlignment="1">
      <x:alignment wrapText="1"/>
    </x:xf>
    <x:xf numFmtId="0" fontId="8" fillId="11" borderId="5" xfId="0" applyNumberFormat="1" applyFont="1" applyFill="1" applyBorder="1" applyAlignment="1">
      <x:alignment wrapText="1"/>
    </x:xf>
    <x:xf numFmtId="0" fontId="8" fillId="11" borderId="6" xfId="0" applyNumberFormat="1" applyFont="1" applyFill="1" applyBorder="1" applyAlignment="1">
      <x:alignment wrapText="1"/>
    </x:xf>
    <x:xf numFmtId="0" fontId="8" fillId="11" borderId="7" xfId="0" applyNumberFormat="1" applyFont="1" applyFill="1" applyBorder="1" applyAlignment="1">
      <x:alignment wrapText="1"/>
    </x:xf>
    <x:xf numFmtId="0" fontId="8" fillId="11" xfId="0" applyNumberFormat="1" applyFont="1" applyFill="1" applyBorder="0" applyAlignment="1">
      <x:alignment wrapText="1"/>
    </x:xf>
    <x:xf numFmtId="0" fontId="8" fillId="11" borderId="8" xfId="0" applyNumberFormat="1" applyFont="1" applyFill="1" applyBorder="1" applyAlignment="1">
      <x:alignment wrapText="1"/>
    </x:xf>
    <x:xf numFmtId="0" fontId="8" fillId="11" borderId="9" xfId="0" applyNumberFormat="1" applyFont="1" applyFill="1" applyBorder="1" applyAlignment="1">
      <x:alignment wrapText="1"/>
    </x:xf>
    <x:xf numFmtId="0" fontId="8" fillId="11" borderId="10" xfId="0" applyNumberFormat="1" applyFont="1" applyFill="1" applyBorder="1" applyAlignment="1">
      <x:alignment wrapText="1"/>
    </x:xf>
    <x:xf numFmtId="0" fontId="8" fillId="11" borderId="11" xfId="0" applyNumberFormat="1" applyFont="1" applyFill="1" applyBorder="1" applyAlignment="1">
      <x:alignment wrapText="1"/>
    </x:xf>
    <x:xf numFmtId="0" fontId="8" fillId="11" borderId="4" xfId="0" applyNumberFormat="1" applyFont="1" applyFill="1" applyBorder="1" applyAlignment="1">
      <x:alignment vertical="center" wrapText="1"/>
    </x:xf>
    <x:xf numFmtId="0" fontId="8" fillId="11" borderId="5" xfId="0" applyNumberFormat="1" applyFont="1" applyFill="1" applyBorder="1" applyAlignment="1">
      <x:alignment vertical="center" wrapText="1"/>
    </x:xf>
    <x:xf numFmtId="0" fontId="8" fillId="11" borderId="6" xfId="0" applyNumberFormat="1" applyFont="1" applyFill="1" applyBorder="1" applyAlignment="1">
      <x:alignment vertical="center" wrapText="1"/>
    </x:xf>
    <x:xf numFmtId="0" fontId="8" fillId="11" borderId="7" xfId="0" applyNumberFormat="1" applyFont="1" applyFill="1" applyBorder="1" applyAlignment="1">
      <x:alignment vertical="center" wrapText="1"/>
    </x:xf>
    <x:xf numFmtId="0" fontId="8" fillId="11" xfId="0" applyNumberFormat="1" applyFont="1" applyFill="1" applyBorder="0" applyAlignment="1">
      <x:alignment vertical="center" wrapText="1"/>
    </x:xf>
    <x:xf numFmtId="0" fontId="8" fillId="11" borderId="8" xfId="0" applyNumberFormat="1" applyFont="1" applyFill="1" applyBorder="1" applyAlignment="1">
      <x:alignment vertical="center" wrapText="1"/>
    </x:xf>
    <x:xf numFmtId="0" fontId="8" fillId="11" borderId="9" xfId="0" applyNumberFormat="1" applyFont="1" applyFill="1" applyBorder="1" applyAlignment="1">
      <x:alignment vertical="center" wrapText="1"/>
    </x:xf>
    <x:xf numFmtId="0" fontId="8" fillId="11" borderId="10" xfId="0" applyNumberFormat="1" applyFont="1" applyFill="1" applyBorder="1" applyAlignment="1">
      <x:alignment vertical="center" wrapText="1"/>
    </x:xf>
    <x:xf numFmtId="0" fontId="8" fillId="11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F1239"/>
      </x:font>
      <x:fill>
        <x:patternFill patternType="solid">
          <x:bgColor rgb="FFFFE4E6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334155"/>
      </x:font>
      <x:fill>
        <x:patternFill patternType="solid">
          <x:bgColor rgb="FFE2E8F0"/>
        </x:patternFill>
      </x:fill>
    </x:dxf>
    <x:dxf>
      <x:font>
        <x:b/>
        <x:color rgb="FFBE185D"/>
      </x:font>
      <x:fill>
        <x:patternFill patternType="solid">
          <x:bgColor rgb="FFFCE7F3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111d266d04905" /><Relationship Type="http://schemas.openxmlformats.org/officeDocument/2006/relationships/theme" Target="/xl/theme/theme1.xml" Id="R38e51ff9c07d4827" /><Relationship Type="http://schemas.openxmlformats.org/officeDocument/2006/relationships/sharedStrings" Target="/xl/sharedStrings.xml" Id="Rc6af885246f44b92" /><Relationship Type="http://schemas.openxmlformats.org/officeDocument/2006/relationships/worksheet" Target="/xl/worksheets/sheet1.xml" Id="R7d2cde4027084f0f" /><Relationship Type="http://schemas.openxmlformats.org/officeDocument/2006/relationships/worksheet" Target="/xl/worksheets/sheet2.xml" Id="R2f9b4caa7e044f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3" hidden="0" customWidth="1"/>
    <x:col min="4" max="4" width="12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5" hidden="0" customWidth="1"/>
    <x:col min="35" max="35" width="5" hidden="0" customWidth="1"/>
    <x:col min="36" max="36" width="11" hidden="0" customWidth="1"/>
    <x:col min="37" max="37" width="11" hidden="0" customWidth="1"/>
    <x:col min="38" max="38" width="24" hidden="0" customWidth="1"/>
  </x:cols>
  <x:sheetData>
    <x:row r="1" ht="36" customHeight="1">
      <x:c r="A1" s="4" t="str">
        <x:v>BOMB HR｜每月人員班表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</x:row>
    <x:row r="2" ht="30" customHeight="1">
      <x:c r="A2" s="9" t="str">
        <x:v>排班月份</x:v>
      </x:c>
      <x:c r="B2" s="10" t="n">
        <x:v>46237</x:v>
      </x:c>
      <x:c r="C2" s="9"/>
      <x:c r="D2" s="9" t="str">
        <x:v>填寫方式：日期欄請由下拉選單選擇「1、休、年、旅、喪、婚、病」。若要新增假別，請至「假別代號設定」工作表新增；核准後系統仍會自動比對並標記。</x:v>
      </x:c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</x:row>
    <x:row r="3" ht="24" customHeight="1">
      <x:c r="A3" s="16"/>
      <x:c r="B3" s="16"/>
      <x:c r="C3" s="16"/>
      <x:c r="D3" s="16"/>
      <x:c r="E3" s="17" t="n">
        <x:v>1</x:v>
      </x:c>
      <x:c r="F3" s="17" t="n">
        <x:v>2</x:v>
      </x:c>
      <x:c r="G3" s="17" t="n">
        <x:v>3</x:v>
      </x:c>
      <x:c r="H3" s="17" t="n">
        <x:v>4</x:v>
      </x:c>
      <x:c r="I3" s="17" t="n">
        <x:v>5</x:v>
      </x:c>
      <x:c r="J3" s="17" t="n">
        <x:v>6</x:v>
      </x:c>
      <x:c r="K3" s="17" t="n">
        <x:v>7</x:v>
      </x:c>
      <x:c r="L3" s="17" t="n">
        <x:v>8</x:v>
      </x:c>
      <x:c r="M3" s="17" t="n">
        <x:v>9</x:v>
      </x:c>
      <x:c r="N3" s="17" t="n">
        <x:v>10</x:v>
      </x:c>
      <x:c r="O3" s="17" t="n">
        <x:v>11</x:v>
      </x:c>
      <x:c r="P3" s="17" t="n">
        <x:v>12</x:v>
      </x:c>
      <x:c r="Q3" s="17" t="n">
        <x:v>13</x:v>
      </x:c>
      <x:c r="R3" s="17" t="n">
        <x:v>14</x:v>
      </x:c>
      <x:c r="S3" s="17" t="n">
        <x:v>15</x:v>
      </x:c>
      <x:c r="T3" s="17" t="n">
        <x:v>16</x:v>
      </x:c>
      <x:c r="U3" s="17" t="n">
        <x:v>17</x:v>
      </x:c>
      <x:c r="V3" s="17" t="n">
        <x:v>18</x:v>
      </x:c>
      <x:c r="W3" s="17" t="n">
        <x:v>19</x:v>
      </x:c>
      <x:c r="X3" s="17" t="n">
        <x:v>20</x:v>
      </x:c>
      <x:c r="Y3" s="17" t="n">
        <x:v>21</x:v>
      </x:c>
      <x:c r="Z3" s="17" t="n">
        <x:v>22</x:v>
      </x:c>
      <x:c r="AA3" s="17" t="n">
        <x:v>23</x:v>
      </x:c>
      <x:c r="AB3" s="17" t="n">
        <x:v>24</x:v>
      </x:c>
      <x:c r="AC3" s="17" t="n">
        <x:v>25</x:v>
      </x:c>
      <x:c r="AD3" s="17" t="n">
        <x:v>26</x:v>
      </x:c>
      <x:c r="AE3" s="17" t="n">
        <x:v>27</x:v>
      </x:c>
      <x:c r="AF3" s="17" t="n">
        <x:v>28</x:v>
      </x:c>
      <x:c r="AG3" s="17" t="n">
        <x:v>29</x:v>
      </x:c>
      <x:c r="AH3" s="17" t="n">
        <x:v>30</x:v>
      </x:c>
      <x:c r="AI3" s="17" t="n">
        <x:v>31</x:v>
      </x:c>
      <x:c r="AJ3" s="18" t="str">
        <x:v>月統計</x:v>
      </x:c>
      <x:c r="AK3" s="18"/>
      <x:c r="AL3" s="18"/>
    </x:row>
    <x:row r="4" ht="24" customHeight="1">
      <x:c r="A4" s="16" t="str">
        <x:v>部門／職位</x:v>
      </x:c>
      <x:c r="B4" s="16" t="str">
        <x:v>班別時段</x:v>
      </x:c>
      <x:c r="C4" s="16" t="str">
        <x:v>員工編號</x:v>
      </x:c>
      <x:c r="D4" s="16" t="str">
        <x:v>員工姓名</x:v>
      </x:c>
      <x:c r="E4" s="16" t="str">
        <x:f>TEXT(DATE(YEAR($B$2),MONTH($B$2),1),"aaa")</x:f>
        <x:v>aaa</x:v>
      </x:c>
      <x:c r="F4" s="16" t="str">
        <x:f>TEXT(DATE(YEAR($B$2),MONTH($B$2),2),"aaa")</x:f>
        <x:v>aaa</x:v>
      </x:c>
      <x:c r="G4" s="16" t="str">
        <x:f>TEXT(DATE(YEAR($B$2),MONTH($B$2),3),"aaa")</x:f>
        <x:v>aaa</x:v>
      </x:c>
      <x:c r="H4" s="16" t="str">
        <x:f>TEXT(DATE(YEAR($B$2),MONTH($B$2),4),"aaa")</x:f>
        <x:v>aaa</x:v>
      </x:c>
      <x:c r="I4" s="16" t="str">
        <x:f>TEXT(DATE(YEAR($B$2),MONTH($B$2),5),"aaa")</x:f>
        <x:v>aaa</x:v>
      </x:c>
      <x:c r="J4" s="16" t="str">
        <x:f>TEXT(DATE(YEAR($B$2),MONTH($B$2),6),"aaa")</x:f>
        <x:v>aaa</x:v>
      </x:c>
      <x:c r="K4" s="16" t="str">
        <x:f>TEXT(DATE(YEAR($B$2),MONTH($B$2),7),"aaa")</x:f>
        <x:v>aaa</x:v>
      </x:c>
      <x:c r="L4" s="16" t="str">
        <x:f>TEXT(DATE(YEAR($B$2),MONTH($B$2),8),"aaa")</x:f>
        <x:v>aaa</x:v>
      </x:c>
      <x:c r="M4" s="16" t="str">
        <x:f>TEXT(DATE(YEAR($B$2),MONTH($B$2),9),"aaa")</x:f>
        <x:v>aaa</x:v>
      </x:c>
      <x:c r="N4" s="16" t="str">
        <x:f>TEXT(DATE(YEAR($B$2),MONTH($B$2),10),"aaa")</x:f>
        <x:v>aaa</x:v>
      </x:c>
      <x:c r="O4" s="16" t="str">
        <x:f>TEXT(DATE(YEAR($B$2),MONTH($B$2),11),"aaa")</x:f>
        <x:v>aaa</x:v>
      </x:c>
      <x:c r="P4" s="16" t="str">
        <x:f>TEXT(DATE(YEAR($B$2),MONTH($B$2),12),"aaa")</x:f>
        <x:v>aaa</x:v>
      </x:c>
      <x:c r="Q4" s="16" t="str">
        <x:f>TEXT(DATE(YEAR($B$2),MONTH($B$2),13),"aaa")</x:f>
        <x:v>aaa</x:v>
      </x:c>
      <x:c r="R4" s="16" t="str">
        <x:f>TEXT(DATE(YEAR($B$2),MONTH($B$2),14),"aaa")</x:f>
        <x:v>aaa</x:v>
      </x:c>
      <x:c r="S4" s="16" t="str">
        <x:f>TEXT(DATE(YEAR($B$2),MONTH($B$2),15),"aaa")</x:f>
        <x:v>aaa</x:v>
      </x:c>
      <x:c r="T4" s="16" t="str">
        <x:f>TEXT(DATE(YEAR($B$2),MONTH($B$2),16),"aaa")</x:f>
        <x:v>aaa</x:v>
      </x:c>
      <x:c r="U4" s="16" t="str">
        <x:f>TEXT(DATE(YEAR($B$2),MONTH($B$2),17),"aaa")</x:f>
        <x:v>aaa</x:v>
      </x:c>
      <x:c r="V4" s="16" t="str">
        <x:f>TEXT(DATE(YEAR($B$2),MONTH($B$2),18),"aaa")</x:f>
        <x:v>aaa</x:v>
      </x:c>
      <x:c r="W4" s="16" t="str">
        <x:f>TEXT(DATE(YEAR($B$2),MONTH($B$2),19),"aaa")</x:f>
        <x:v>aaa</x:v>
      </x:c>
      <x:c r="X4" s="16" t="str">
        <x:f>TEXT(DATE(YEAR($B$2),MONTH($B$2),20),"aaa")</x:f>
        <x:v>aaa</x:v>
      </x:c>
      <x:c r="Y4" s="16" t="str">
        <x:f>TEXT(DATE(YEAR($B$2),MONTH($B$2),21),"aaa")</x:f>
        <x:v>aaa</x:v>
      </x:c>
      <x:c r="Z4" s="16" t="str">
        <x:f>TEXT(DATE(YEAR($B$2),MONTH($B$2),22),"aaa")</x:f>
        <x:v>aaa</x:v>
      </x:c>
      <x:c r="AA4" s="16" t="str">
        <x:f>TEXT(DATE(YEAR($B$2),MONTH($B$2),23),"aaa")</x:f>
        <x:v>aaa</x:v>
      </x:c>
      <x:c r="AB4" s="16" t="str">
        <x:f>TEXT(DATE(YEAR($B$2),MONTH($B$2),24),"aaa")</x:f>
        <x:v>aaa</x:v>
      </x:c>
      <x:c r="AC4" s="16" t="str">
        <x:f>TEXT(DATE(YEAR($B$2),MONTH($B$2),25),"aaa")</x:f>
        <x:v>aaa</x:v>
      </x:c>
      <x:c r="AD4" s="16" t="str">
        <x:f>TEXT(DATE(YEAR($B$2),MONTH($B$2),26),"aaa")</x:f>
        <x:v>aaa</x:v>
      </x:c>
      <x:c r="AE4" s="16" t="str">
        <x:f>TEXT(DATE(YEAR($B$2),MONTH($B$2),27),"aaa")</x:f>
        <x:v>aaa</x:v>
      </x:c>
      <x:c r="AF4" s="16" t="str">
        <x:f>TEXT(DATE(YEAR($B$2),MONTH($B$2),28),"aaa")</x:f>
        <x:v>aaa</x:v>
      </x:c>
      <x:c r="AG4" s="16" t="str">
        <x:f>TEXT(DATE(YEAR($B$2),MONTH($B$2),29),"aaa")</x:f>
        <x:v>aaa</x:v>
      </x:c>
      <x:c r="AH4" s="16" t="str">
        <x:f>TEXT(DATE(YEAR($B$2),MONTH($B$2),30),"aaa")</x:f>
        <x:v>aaa</x:v>
      </x:c>
      <x:c r="AI4" s="16" t="str">
        <x:f>TEXT(DATE(YEAR($B$2),MONTH($B$2),31),"aaa")</x:f>
        <x:v>aaa</x:v>
      </x:c>
      <x:c r="AJ4" s="18" t="str">
        <x:v>上班天數</x:v>
      </x:c>
      <x:c r="AK4" s="18" t="str">
        <x:v>請假天數</x:v>
      </x:c>
      <x:c r="AL4" s="18" t="str">
        <x:v>備註</x:v>
      </x:c>
    </x:row>
    <x:row r="5" ht="24" customHeight="1">
      <x:c r="A5" s="21" t="str">
        <x:v>企劃部／經理辦公室</x:v>
      </x:c>
      <x:c r="B5" s="21" t="str">
        <x:v>09:00-18:00</x:v>
      </x:c>
      <x:c r="C5" s="21" t="str">
        <x:v>AB00001</x:v>
      </x:c>
      <x:c r="D5" s="21" t="str">
        <x:v>OG</x:v>
      </x:c>
      <x:c r="E5" s="22" t="str">
        <x:v>休</x:v>
      </x:c>
      <x:c r="F5" s="22" t="str">
        <x:v>休</x:v>
      </x:c>
      <x:c r="G5" s="22" t="str">
        <x:v>1</x:v>
      </x:c>
      <x:c r="H5" s="22" t="str">
        <x:v>1</x:v>
      </x:c>
      <x:c r="I5" s="22" t="str">
        <x:v>1</x:v>
      </x:c>
      <x:c r="J5" s="22" t="str">
        <x:v>1</x:v>
      </x:c>
      <x:c r="K5" s="22" t="str">
        <x:v>1</x:v>
      </x:c>
      <x:c r="L5" s="22" t="str">
        <x:v>休</x:v>
      </x:c>
      <x:c r="M5" s="22" t="str">
        <x:v>休</x:v>
      </x:c>
      <x:c r="N5" s="22" t="str">
        <x:v>1</x:v>
      </x:c>
      <x:c r="O5" s="22" t="str">
        <x:v>1</x:v>
      </x:c>
      <x:c r="P5" s="22" t="str">
        <x:v>1</x:v>
      </x:c>
      <x:c r="Q5" s="22" t="str">
        <x:v>1</x:v>
      </x:c>
      <x:c r="R5" s="22" t="str">
        <x:v>1</x:v>
      </x:c>
      <x:c r="S5" s="22" t="str">
        <x:v>休</x:v>
      </x:c>
      <x:c r="T5" s="22" t="str">
        <x:v>休</x:v>
      </x:c>
      <x:c r="U5" s="22" t="str">
        <x:v>1</x:v>
      </x:c>
      <x:c r="V5" s="22" t="str">
        <x:v>1</x:v>
      </x:c>
      <x:c r="W5" s="22" t="str">
        <x:v>1</x:v>
      </x:c>
      <x:c r="X5" s="22" t="str">
        <x:v>1</x:v>
      </x:c>
      <x:c r="Y5" s="22" t="str">
        <x:v>1</x:v>
      </x:c>
      <x:c r="Z5" s="22" t="str">
        <x:v>休</x:v>
      </x:c>
      <x:c r="AA5" s="22" t="str">
        <x:v>休</x:v>
      </x:c>
      <x:c r="AB5" s="22" t="str">
        <x:v>1</x:v>
      </x:c>
      <x:c r="AC5" s="22" t="str">
        <x:v>1</x:v>
      </x:c>
      <x:c r="AD5" s="22" t="str">
        <x:v>1</x:v>
      </x:c>
      <x:c r="AE5" s="22" t="str">
        <x:v>1</x:v>
      </x:c>
      <x:c r="AF5" s="22" t="str">
        <x:v>1</x:v>
      </x:c>
      <x:c r="AG5" s="22" t="str">
        <x:v>休</x:v>
      </x:c>
      <x:c r="AH5" s="22" t="str">
        <x:v>休</x:v>
      </x:c>
      <x:c r="AI5" s="22" t="str">
        <x:v>1</x:v>
      </x:c>
      <x:c r="AJ5" s="21" t="n">
        <x:f>COUNTIF(E5:AI5,"1")</x:f>
        <x:v>21</x:v>
      </x:c>
      <x:c r="AK5" s="21" t="str"/>
      <x:c r="AL5" s="21" t="str"/>
    </x:row>
    <x:row r="6" ht="24" customHeight="1">
      <x:c r="A6" s="21" t="str">
        <x:v>企劃部／CS主管</x:v>
      </x:c>
      <x:c r="B6" s="21" t="str">
        <x:v>09:00-18:00</x:v>
      </x:c>
      <x:c r="C6" s="21" t="str">
        <x:v>AB00002</x:v>
      </x:c>
      <x:c r="D6" s="21" t="str">
        <x:v>KEN</x:v>
      </x:c>
      <x:c r="E6" s="22" t="str">
        <x:v>休</x:v>
      </x:c>
      <x:c r="F6" s="22" t="str">
        <x:v>休</x:v>
      </x:c>
      <x:c r="G6" s="22" t="str">
        <x:v>1</x:v>
      </x:c>
      <x:c r="H6" s="22" t="str">
        <x:v>1</x:v>
      </x:c>
      <x:c r="I6" s="22" t="str">
        <x:v>1</x:v>
      </x:c>
      <x:c r="J6" s="22" t="str">
        <x:v>1</x:v>
      </x:c>
      <x:c r="K6" s="22" t="str">
        <x:v>1</x:v>
      </x:c>
      <x:c r="L6" s="22" t="str">
        <x:v>休</x:v>
      </x:c>
      <x:c r="M6" s="22" t="str">
        <x:v>休</x:v>
      </x:c>
      <x:c r="N6" s="22" t="str">
        <x:v>1</x:v>
      </x:c>
      <x:c r="O6" s="22" t="str">
        <x:v>1</x:v>
      </x:c>
      <x:c r="P6" s="22" t="str">
        <x:v>1</x:v>
      </x:c>
      <x:c r="Q6" s="22" t="str">
        <x:v>1</x:v>
      </x:c>
      <x:c r="R6" s="22" t="str">
        <x:v>1</x:v>
      </x:c>
      <x:c r="S6" s="22" t="str">
        <x:v>休</x:v>
      </x:c>
      <x:c r="T6" s="22" t="str">
        <x:v>休</x:v>
      </x:c>
      <x:c r="U6" s="22" t="str">
        <x:v>1</x:v>
      </x:c>
      <x:c r="V6" s="22" t="str">
        <x:v>1</x:v>
      </x:c>
      <x:c r="W6" s="22" t="str">
        <x:v>1</x:v>
      </x:c>
      <x:c r="X6" s="22" t="str">
        <x:v>1</x:v>
      </x:c>
      <x:c r="Y6" s="22" t="str">
        <x:v>1</x:v>
      </x:c>
      <x:c r="Z6" s="22" t="str">
        <x:v>休</x:v>
      </x:c>
      <x:c r="AA6" s="22" t="str">
        <x:v>休</x:v>
      </x:c>
      <x:c r="AB6" s="22" t="str">
        <x:v>1</x:v>
      </x:c>
      <x:c r="AC6" s="22" t="str">
        <x:v>1</x:v>
      </x:c>
      <x:c r="AD6" s="22" t="str">
        <x:v>1</x:v>
      </x:c>
      <x:c r="AE6" s="22" t="str">
        <x:v>1</x:v>
      </x:c>
      <x:c r="AF6" s="22" t="str">
        <x:v>1</x:v>
      </x:c>
      <x:c r="AG6" s="22" t="str">
        <x:v>休</x:v>
      </x:c>
      <x:c r="AH6" s="22" t="str">
        <x:v>休</x:v>
      </x:c>
      <x:c r="AI6" s="22" t="str">
        <x:v>1</x:v>
      </x:c>
      <x:c r="AJ6" s="21" t="n">
        <x:f>COUNTIF(E6:AI6,"1")</x:f>
        <x:v>21</x:v>
      </x:c>
      <x:c r="AK6" s="21" t="str"/>
      <x:c r="AL6" s="21" t="str"/>
    </x:row>
    <x:row r="7" ht="24" customHeight="1">
      <x:c r="A7" s="21" t="str">
        <x:v>企劃部／技術企劃</x:v>
      </x:c>
      <x:c r="B7" s="21" t="str">
        <x:v>09:00-18:00</x:v>
      </x:c>
      <x:c r="C7" s="21" t="str">
        <x:v>AB00003</x:v>
      </x:c>
      <x:c r="D7" s="21" t="str">
        <x:v>RU</x:v>
      </x:c>
      <x:c r="E7" s="22" t="str">
        <x:v>休</x:v>
      </x:c>
      <x:c r="F7" s="22" t="str">
        <x:v>休</x:v>
      </x:c>
      <x:c r="G7" s="22" t="str">
        <x:v>1</x:v>
      </x:c>
      <x:c r="H7" s="22" t="str">
        <x:v>1</x:v>
      </x:c>
      <x:c r="I7" s="22" t="str">
        <x:v>1</x:v>
      </x:c>
      <x:c r="J7" s="22" t="str">
        <x:v>1</x:v>
      </x:c>
      <x:c r="K7" s="22" t="str">
        <x:v>1</x:v>
      </x:c>
      <x:c r="L7" s="22" t="str">
        <x:v>休</x:v>
      </x:c>
      <x:c r="M7" s="22" t="str">
        <x:v>休</x:v>
      </x:c>
      <x:c r="N7" s="22" t="str">
        <x:v>1</x:v>
      </x:c>
      <x:c r="O7" s="22" t="str">
        <x:v>1</x:v>
      </x:c>
      <x:c r="P7" s="22" t="str">
        <x:v>1</x:v>
      </x:c>
      <x:c r="Q7" s="22" t="str">
        <x:v>1</x:v>
      </x:c>
      <x:c r="R7" s="22" t="str">
        <x:v>1</x:v>
      </x:c>
      <x:c r="S7" s="22" t="str">
        <x:v>休</x:v>
      </x:c>
      <x:c r="T7" s="22" t="str">
        <x:v>休</x:v>
      </x:c>
      <x:c r="U7" s="22" t="str">
        <x:v>1</x:v>
      </x:c>
      <x:c r="V7" s="22" t="str">
        <x:v>1</x:v>
      </x:c>
      <x:c r="W7" s="22" t="str">
        <x:v>1</x:v>
      </x:c>
      <x:c r="X7" s="22" t="str">
        <x:v>1</x:v>
      </x:c>
      <x:c r="Y7" s="22" t="str">
        <x:v>1</x:v>
      </x:c>
      <x:c r="Z7" s="22" t="str">
        <x:v>休</x:v>
      </x:c>
      <x:c r="AA7" s="22" t="str">
        <x:v>休</x:v>
      </x:c>
      <x:c r="AB7" s="22" t="str">
        <x:v>1</x:v>
      </x:c>
      <x:c r="AC7" s="22" t="str">
        <x:v>1</x:v>
      </x:c>
      <x:c r="AD7" s="22" t="str">
        <x:v>1</x:v>
      </x:c>
      <x:c r="AE7" s="22" t="str">
        <x:v>1</x:v>
      </x:c>
      <x:c r="AF7" s="22" t="str">
        <x:v>1</x:v>
      </x:c>
      <x:c r="AG7" s="22" t="str">
        <x:v>休</x:v>
      </x:c>
      <x:c r="AH7" s="22" t="str">
        <x:v>休</x:v>
      </x:c>
      <x:c r="AI7" s="22" t="str">
        <x:v>1</x:v>
      </x:c>
      <x:c r="AJ7" s="21" t="n">
        <x:f>COUNTIF(E7:AI7,"1")</x:f>
        <x:v>21</x:v>
      </x:c>
      <x:c r="AK7" s="21" t="str"/>
      <x:c r="AL7" s="21" t="str"/>
    </x:row>
    <x:row r="8" ht="24" customHeight="1">
      <x:c r="A8" s="21" t="str">
        <x:v>企劃部／CS組長</x:v>
      </x:c>
      <x:c r="B8" s="21" t="str">
        <x:v>09:00-18:00</x:v>
      </x:c>
      <x:c r="C8" s="21" t="str">
        <x:v>AB00004</x:v>
      </x:c>
      <x:c r="D8" s="21" t="str">
        <x:v>弦</x:v>
      </x:c>
      <x:c r="E8" s="22" t="str">
        <x:v>休</x:v>
      </x:c>
      <x:c r="F8" s="22" t="str">
        <x:v>休</x:v>
      </x:c>
      <x:c r="G8" s="22" t="str">
        <x:v>1</x:v>
      </x:c>
      <x:c r="H8" s="22" t="str">
        <x:v>1</x:v>
      </x:c>
      <x:c r="I8" s="22" t="str">
        <x:v>1</x:v>
      </x:c>
      <x:c r="J8" s="22" t="str">
        <x:v>1</x:v>
      </x:c>
      <x:c r="K8" s="22" t="str">
        <x:v>1</x:v>
      </x:c>
      <x:c r="L8" s="22" t="str">
        <x:v>休</x:v>
      </x:c>
      <x:c r="M8" s="22" t="str">
        <x:v>休</x:v>
      </x:c>
      <x:c r="N8" s="22" t="str">
        <x:v>1</x:v>
      </x:c>
      <x:c r="O8" s="22" t="str">
        <x:v>1</x:v>
      </x:c>
      <x:c r="P8" s="22" t="str">
        <x:v>1</x:v>
      </x:c>
      <x:c r="Q8" s="22" t="str">
        <x:v>1</x:v>
      </x:c>
      <x:c r="R8" s="22" t="str">
        <x:v>1</x:v>
      </x:c>
      <x:c r="S8" s="22" t="str">
        <x:v>休</x:v>
      </x:c>
      <x:c r="T8" s="22" t="str">
        <x:v>休</x:v>
      </x:c>
      <x:c r="U8" s="22" t="str">
        <x:v>1</x:v>
      </x:c>
      <x:c r="V8" s="22" t="str">
        <x:v>1</x:v>
      </x:c>
      <x:c r="W8" s="22" t="str">
        <x:v>1</x:v>
      </x:c>
      <x:c r="X8" s="22" t="str">
        <x:v>1</x:v>
      </x:c>
      <x:c r="Y8" s="22" t="str">
        <x:v>1</x:v>
      </x:c>
      <x:c r="Z8" s="22" t="str">
        <x:v>休</x:v>
      </x:c>
      <x:c r="AA8" s="22" t="str">
        <x:v>休</x:v>
      </x:c>
      <x:c r="AB8" s="22" t="str">
        <x:v>1</x:v>
      </x:c>
      <x:c r="AC8" s="22" t="str">
        <x:v>1</x:v>
      </x:c>
      <x:c r="AD8" s="22" t="str">
        <x:v>1</x:v>
      </x:c>
      <x:c r="AE8" s="22" t="str">
        <x:v>1</x:v>
      </x:c>
      <x:c r="AF8" s="22" t="str">
        <x:v>1</x:v>
      </x:c>
      <x:c r="AG8" s="22" t="str">
        <x:v>休</x:v>
      </x:c>
      <x:c r="AH8" s="22" t="str">
        <x:v>休</x:v>
      </x:c>
      <x:c r="AI8" s="22" t="str">
        <x:v>1</x:v>
      </x:c>
      <x:c r="AJ8" s="21" t="n">
        <x:f>COUNTIF(E8:AI8,"1")</x:f>
        <x:v>21</x:v>
      </x:c>
      <x:c r="AK8" s="21" t="str"/>
      <x:c r="AL8" s="21" t="str"/>
    </x:row>
    <x:row r="9" ht="24" customHeight="1">
      <x:c r="A9" s="21" t="str">
        <x:v>企劃部／CS組長</x:v>
      </x:c>
      <x:c r="B9" s="21" t="str">
        <x:v>09:00-18:00</x:v>
      </x:c>
      <x:c r="C9" s="21" t="str">
        <x:v>AB00005</x:v>
      </x:c>
      <x:c r="D9" s="21" t="str">
        <x:v>鬼</x:v>
      </x:c>
      <x:c r="E9" s="22" t="str">
        <x:v>休</x:v>
      </x:c>
      <x:c r="F9" s="22" t="str">
        <x:v>休</x:v>
      </x:c>
      <x:c r="G9" s="22" t="str">
        <x:v>1</x:v>
      </x:c>
      <x:c r="H9" s="22" t="str">
        <x:v>1</x:v>
      </x:c>
      <x:c r="I9" s="22" t="str">
        <x:v>1</x:v>
      </x:c>
      <x:c r="J9" s="22" t="str">
        <x:v>1</x:v>
      </x:c>
      <x:c r="K9" s="22" t="str">
        <x:v>1</x:v>
      </x:c>
      <x:c r="L9" s="22" t="str">
        <x:v>休</x:v>
      </x:c>
      <x:c r="M9" s="22" t="str">
        <x:v>休</x:v>
      </x:c>
      <x:c r="N9" s="22" t="str">
        <x:v>1</x:v>
      </x:c>
      <x:c r="O9" s="22" t="str">
        <x:v>1</x:v>
      </x:c>
      <x:c r="P9" s="22" t="str">
        <x:v>1</x:v>
      </x:c>
      <x:c r="Q9" s="22" t="str">
        <x:v>1</x:v>
      </x:c>
      <x:c r="R9" s="22" t="str">
        <x:v>1</x:v>
      </x:c>
      <x:c r="S9" s="22" t="str">
        <x:v>休</x:v>
      </x:c>
      <x:c r="T9" s="22" t="str">
        <x:v>休</x:v>
      </x:c>
      <x:c r="U9" s="22" t="str">
        <x:v>1</x:v>
      </x:c>
      <x:c r="V9" s="22" t="str">
        <x:v>1</x:v>
      </x:c>
      <x:c r="W9" s="22" t="str">
        <x:v>1</x:v>
      </x:c>
      <x:c r="X9" s="22" t="str">
        <x:v>1</x:v>
      </x:c>
      <x:c r="Y9" s="22" t="str">
        <x:v>1</x:v>
      </x:c>
      <x:c r="Z9" s="22" t="str">
        <x:v>休</x:v>
      </x:c>
      <x:c r="AA9" s="22" t="str">
        <x:v>休</x:v>
      </x:c>
      <x:c r="AB9" s="22" t="str">
        <x:v>1</x:v>
      </x:c>
      <x:c r="AC9" s="22" t="str">
        <x:v>1</x:v>
      </x:c>
      <x:c r="AD9" s="22" t="str">
        <x:v>1</x:v>
      </x:c>
      <x:c r="AE9" s="22" t="str">
        <x:v>1</x:v>
      </x:c>
      <x:c r="AF9" s="22" t="str">
        <x:v>1</x:v>
      </x:c>
      <x:c r="AG9" s="22" t="str">
        <x:v>休</x:v>
      </x:c>
      <x:c r="AH9" s="22" t="str">
        <x:v>休</x:v>
      </x:c>
      <x:c r="AI9" s="22" t="str">
        <x:v>1</x:v>
      </x:c>
      <x:c r="AJ9" s="21" t="n">
        <x:f>COUNTIF(E9:AI9,"1")</x:f>
        <x:v>21</x:v>
      </x:c>
      <x:c r="AK9" s="21" t="str"/>
      <x:c r="AL9" s="21" t="str"/>
    </x:row>
    <x:row r="10" ht="24" customHeight="1">
      <x:c r="A10" s="21" t="str">
        <x:v>技術部／技術長</x:v>
      </x:c>
      <x:c r="B10" s="21" t="str">
        <x:v>09:00-18:00</x:v>
      </x:c>
      <x:c r="C10" s="21" t="str">
        <x:v>AB00006</x:v>
      </x:c>
      <x:c r="D10" s="21" t="str">
        <x:v>肉肉</x:v>
      </x:c>
      <x:c r="E10" s="22" t="str">
        <x:v>休</x:v>
      </x:c>
      <x:c r="F10" s="22" t="str">
        <x:v>休</x:v>
      </x:c>
      <x:c r="G10" s="22" t="str">
        <x:v>1</x:v>
      </x:c>
      <x:c r="H10" s="22" t="str">
        <x:v>1</x:v>
      </x:c>
      <x:c r="I10" s="22" t="str">
        <x:v>1</x:v>
      </x:c>
      <x:c r="J10" s="22" t="str">
        <x:v>1</x:v>
      </x:c>
      <x:c r="K10" s="22" t="str">
        <x:v>1</x:v>
      </x:c>
      <x:c r="L10" s="22" t="str">
        <x:v>休</x:v>
      </x:c>
      <x:c r="M10" s="22" t="str">
        <x:v>休</x:v>
      </x:c>
      <x:c r="N10" s="22" t="str">
        <x:v>1</x:v>
      </x:c>
      <x:c r="O10" s="22" t="str">
        <x:v>1</x:v>
      </x:c>
      <x:c r="P10" s="22" t="str">
        <x:v>1</x:v>
      </x:c>
      <x:c r="Q10" s="22" t="str">
        <x:v>1</x:v>
      </x:c>
      <x:c r="R10" s="22" t="str">
        <x:v>1</x:v>
      </x:c>
      <x:c r="S10" s="22" t="str">
        <x:v>休</x:v>
      </x:c>
      <x:c r="T10" s="22" t="str">
        <x:v>休</x:v>
      </x:c>
      <x:c r="U10" s="22" t="str">
        <x:v>1</x:v>
      </x:c>
      <x:c r="V10" s="22" t="str">
        <x:v>1</x:v>
      </x:c>
      <x:c r="W10" s="22" t="str">
        <x:v>1</x:v>
      </x:c>
      <x:c r="X10" s="22" t="str">
        <x:v>1</x:v>
      </x:c>
      <x:c r="Y10" s="22" t="str">
        <x:v>1</x:v>
      </x:c>
      <x:c r="Z10" s="22" t="str">
        <x:v>休</x:v>
      </x:c>
      <x:c r="AA10" s="22" t="str">
        <x:v>休</x:v>
      </x:c>
      <x:c r="AB10" s="22" t="str">
        <x:v>1</x:v>
      </x:c>
      <x:c r="AC10" s="22" t="str">
        <x:v>1</x:v>
      </x:c>
      <x:c r="AD10" s="22" t="str">
        <x:v>1</x:v>
      </x:c>
      <x:c r="AE10" s="22" t="str">
        <x:v>1</x:v>
      </x:c>
      <x:c r="AF10" s="22" t="str">
        <x:v>1</x:v>
      </x:c>
      <x:c r="AG10" s="22" t="str">
        <x:v>休</x:v>
      </x:c>
      <x:c r="AH10" s="22" t="str">
        <x:v>休</x:v>
      </x:c>
      <x:c r="AI10" s="22" t="str">
        <x:v>1</x:v>
      </x:c>
      <x:c r="AJ10" s="21" t="n">
        <x:f>COUNTIF(E10:AI10,"1")</x:f>
        <x:v>21</x:v>
      </x:c>
      <x:c r="AK10" s="21" t="str"/>
      <x:c r="AL10" s="21" t="str"/>
    </x:row>
    <x:row r="11" ht="24" customHeight="1">
      <x:c r="A11" s="21" t="str">
        <x:v>技術部／全端工程師</x:v>
      </x:c>
      <x:c r="B11" s="21" t="str">
        <x:v>09:00-18:00</x:v>
      </x:c>
      <x:c r="C11" s="21" t="str">
        <x:v>AB00007</x:v>
      </x:c>
      <x:c r="D11" s="21" t="str">
        <x:v>晴</x:v>
      </x:c>
      <x:c r="E11" s="22" t="str">
        <x:v>休</x:v>
      </x:c>
      <x:c r="F11" s="22" t="str">
        <x:v>休</x:v>
      </x:c>
      <x:c r="G11" s="22" t="str">
        <x:v>1</x:v>
      </x:c>
      <x:c r="H11" s="22" t="str">
        <x:v>1</x:v>
      </x:c>
      <x:c r="I11" s="22" t="str">
        <x:v>1</x:v>
      </x:c>
      <x:c r="J11" s="22" t="str">
        <x:v>1</x:v>
      </x:c>
      <x:c r="K11" s="22" t="str">
        <x:v>1</x:v>
      </x:c>
      <x:c r="L11" s="22" t="str">
        <x:v>休</x:v>
      </x:c>
      <x:c r="M11" s="22" t="str">
        <x:v>休</x:v>
      </x:c>
      <x:c r="N11" s="22" t="str">
        <x:v>1</x:v>
      </x:c>
      <x:c r="O11" s="22" t="str">
        <x:v>1</x:v>
      </x:c>
      <x:c r="P11" s="22" t="str">
        <x:v>1</x:v>
      </x:c>
      <x:c r="Q11" s="22" t="str">
        <x:v>1</x:v>
      </x:c>
      <x:c r="R11" s="22" t="str">
        <x:v>1</x:v>
      </x:c>
      <x:c r="S11" s="22" t="str">
        <x:v>休</x:v>
      </x:c>
      <x:c r="T11" s="22" t="str">
        <x:v>休</x:v>
      </x:c>
      <x:c r="U11" s="22" t="str">
        <x:v>1</x:v>
      </x:c>
      <x:c r="V11" s="22" t="str">
        <x:v>1</x:v>
      </x:c>
      <x:c r="W11" s="22" t="str">
        <x:v>1</x:v>
      </x:c>
      <x:c r="X11" s="22" t="str">
        <x:v>1</x:v>
      </x:c>
      <x:c r="Y11" s="22" t="str">
        <x:v>1</x:v>
      </x:c>
      <x:c r="Z11" s="22" t="str">
        <x:v>休</x:v>
      </x:c>
      <x:c r="AA11" s="22" t="str">
        <x:v>休</x:v>
      </x:c>
      <x:c r="AB11" s="22" t="str">
        <x:v>1</x:v>
      </x:c>
      <x:c r="AC11" s="22" t="str">
        <x:v>1</x:v>
      </x:c>
      <x:c r="AD11" s="22" t="str">
        <x:v>1</x:v>
      </x:c>
      <x:c r="AE11" s="22" t="str">
        <x:v>1</x:v>
      </x:c>
      <x:c r="AF11" s="22" t="str">
        <x:v>1</x:v>
      </x:c>
      <x:c r="AG11" s="22" t="str">
        <x:v>休</x:v>
      </x:c>
      <x:c r="AH11" s="22" t="str">
        <x:v>休</x:v>
      </x:c>
      <x:c r="AI11" s="22" t="str">
        <x:v>1</x:v>
      </x:c>
      <x:c r="AJ11" s="21" t="n">
        <x:f>COUNTIF(E11:AI11,"1")</x:f>
        <x:v>21</x:v>
      </x:c>
      <x:c r="AK11" s="21" t="str"/>
      <x:c r="AL11" s="21" t="str"/>
    </x:row>
    <x:row r="12" ht="24" customHeight="1">
      <x:c r="A12" s="21" t="str">
        <x:v>技術部／前端工程師</x:v>
      </x:c>
      <x:c r="B12" s="21" t="str">
        <x:v>09:00-18:00</x:v>
      </x:c>
      <x:c r="C12" s="21" t="str">
        <x:v>AB00008</x:v>
      </x:c>
      <x:c r="D12" s="21" t="str">
        <x:v>佑</x:v>
      </x:c>
      <x:c r="E12" s="22" t="str">
        <x:v>休</x:v>
      </x:c>
      <x:c r="F12" s="22" t="str">
        <x:v>休</x:v>
      </x:c>
      <x:c r="G12" s="22" t="str">
        <x:v>1</x:v>
      </x:c>
      <x:c r="H12" s="22" t="str">
        <x:v>1</x:v>
      </x:c>
      <x:c r="I12" s="22" t="str">
        <x:v>1</x:v>
      </x:c>
      <x:c r="J12" s="22" t="str">
        <x:v>1</x:v>
      </x:c>
      <x:c r="K12" s="22" t="str">
        <x:v>1</x:v>
      </x:c>
      <x:c r="L12" s="22" t="str">
        <x:v>休</x:v>
      </x:c>
      <x:c r="M12" s="22" t="str">
        <x:v>休</x:v>
      </x:c>
      <x:c r="N12" s="22" t="str">
        <x:v>1</x:v>
      </x:c>
      <x:c r="O12" s="22" t="str">
        <x:v>1</x:v>
      </x:c>
      <x:c r="P12" s="22" t="str">
        <x:v>1</x:v>
      </x:c>
      <x:c r="Q12" s="22" t="str">
        <x:v>1</x:v>
      </x:c>
      <x:c r="R12" s="22" t="str">
        <x:v>1</x:v>
      </x:c>
      <x:c r="S12" s="22" t="str">
        <x:v>休</x:v>
      </x:c>
      <x:c r="T12" s="22" t="str">
        <x:v>休</x:v>
      </x:c>
      <x:c r="U12" s="22" t="str">
        <x:v>1</x:v>
      </x:c>
      <x:c r="V12" s="22" t="str">
        <x:v>1</x:v>
      </x:c>
      <x:c r="W12" s="22" t="str">
        <x:v>1</x:v>
      </x:c>
      <x:c r="X12" s="22" t="str">
        <x:v>1</x:v>
      </x:c>
      <x:c r="Y12" s="22" t="str">
        <x:v>1</x:v>
      </x:c>
      <x:c r="Z12" s="22" t="str">
        <x:v>休</x:v>
      </x:c>
      <x:c r="AA12" s="22" t="str">
        <x:v>休</x:v>
      </x:c>
      <x:c r="AB12" s="22" t="str">
        <x:v>1</x:v>
      </x:c>
      <x:c r="AC12" s="22" t="str">
        <x:v>1</x:v>
      </x:c>
      <x:c r="AD12" s="22" t="str">
        <x:v>1</x:v>
      </x:c>
      <x:c r="AE12" s="22" t="str">
        <x:v>1</x:v>
      </x:c>
      <x:c r="AF12" s="22" t="str">
        <x:v>1</x:v>
      </x:c>
      <x:c r="AG12" s="22" t="str">
        <x:v>休</x:v>
      </x:c>
      <x:c r="AH12" s="22" t="str">
        <x:v>休</x:v>
      </x:c>
      <x:c r="AI12" s="22" t="str">
        <x:v>1</x:v>
      </x:c>
      <x:c r="AJ12" s="21" t="n">
        <x:f>COUNTIF(E12:AI12,"1")</x:f>
        <x:v>21</x:v>
      </x:c>
      <x:c r="AK12" s="21" t="str"/>
      <x:c r="AL12" s="21" t="str"/>
    </x:row>
    <x:row r="13" ht="24" customHeight="1">
      <x:c r="A13" s="21" t="str">
        <x:v>技術部／設計師</x:v>
      </x:c>
      <x:c r="B13" s="21" t="str">
        <x:v>09:00-18:00</x:v>
      </x:c>
      <x:c r="C13" s="21" t="str">
        <x:v>AB00009</x:v>
      </x:c>
      <x:c r="D13" s="21" t="str">
        <x:v>津</x:v>
      </x:c>
      <x:c r="E13" s="22" t="str">
        <x:v>休</x:v>
      </x:c>
      <x:c r="F13" s="22" t="str">
        <x:v>休</x:v>
      </x:c>
      <x:c r="G13" s="22" t="str">
        <x:v>1</x:v>
      </x:c>
      <x:c r="H13" s="22" t="str">
        <x:v>1</x:v>
      </x:c>
      <x:c r="I13" s="22" t="str">
        <x:v>1</x:v>
      </x:c>
      <x:c r="J13" s="22" t="str">
        <x:v>1</x:v>
      </x:c>
      <x:c r="K13" s="22" t="str">
        <x:v>1</x:v>
      </x:c>
      <x:c r="L13" s="22" t="str">
        <x:v>休</x:v>
      </x:c>
      <x:c r="M13" s="22" t="str">
        <x:v>休</x:v>
      </x:c>
      <x:c r="N13" s="22" t="str">
        <x:v>1</x:v>
      </x:c>
      <x:c r="O13" s="22" t="str">
        <x:v>1</x:v>
      </x:c>
      <x:c r="P13" s="22" t="str">
        <x:v>1</x:v>
      </x:c>
      <x:c r="Q13" s="22" t="str">
        <x:v>1</x:v>
      </x:c>
      <x:c r="R13" s="22" t="str">
        <x:v>1</x:v>
      </x:c>
      <x:c r="S13" s="22" t="str">
        <x:v>休</x:v>
      </x:c>
      <x:c r="T13" s="22" t="str">
        <x:v>休</x:v>
      </x:c>
      <x:c r="U13" s="22" t="str">
        <x:v>1</x:v>
      </x:c>
      <x:c r="V13" s="22" t="str">
        <x:v>1</x:v>
      </x:c>
      <x:c r="W13" s="22" t="str">
        <x:v>1</x:v>
      </x:c>
      <x:c r="X13" s="22" t="str">
        <x:v>1</x:v>
      </x:c>
      <x:c r="Y13" s="22" t="str">
        <x:v>1</x:v>
      </x:c>
      <x:c r="Z13" s="22" t="str">
        <x:v>休</x:v>
      </x:c>
      <x:c r="AA13" s="22" t="str">
        <x:v>休</x:v>
      </x:c>
      <x:c r="AB13" s="22" t="str">
        <x:v>1</x:v>
      </x:c>
      <x:c r="AC13" s="22" t="str">
        <x:v>1</x:v>
      </x:c>
      <x:c r="AD13" s="22" t="str">
        <x:v>1</x:v>
      </x:c>
      <x:c r="AE13" s="22" t="str">
        <x:v>1</x:v>
      </x:c>
      <x:c r="AF13" s="22" t="str">
        <x:v>1</x:v>
      </x:c>
      <x:c r="AG13" s="22" t="str">
        <x:v>休</x:v>
      </x:c>
      <x:c r="AH13" s="22" t="str">
        <x:v>休</x:v>
      </x:c>
      <x:c r="AI13" s="22" t="str">
        <x:v>1</x:v>
      </x:c>
      <x:c r="AJ13" s="21" t="n">
        <x:f>COUNTIF(E13:AI13,"1")</x:f>
        <x:v>21</x:v>
      </x:c>
      <x:c r="AK13" s="21" t="str"/>
      <x:c r="AL13" s="21" t="str"/>
    </x:row>
    <x:row r="14" ht="24" customHeight="1">
      <x:c r="A14" s="21" t="str">
        <x:v>財務人事行政部／主管</x:v>
      </x:c>
      <x:c r="B14" s="21" t="str">
        <x:v>09:00-18:00</x:v>
      </x:c>
      <x:c r="C14" s="21" t="str">
        <x:v>AB00010</x:v>
      </x:c>
      <x:c r="D14" s="21" t="str">
        <x:v>魚</x:v>
      </x:c>
      <x:c r="E14" s="22" t="str">
        <x:v>休</x:v>
      </x:c>
      <x:c r="F14" s="22" t="str">
        <x:v>休</x:v>
      </x:c>
      <x:c r="G14" s="22" t="str">
        <x:v>1</x:v>
      </x:c>
      <x:c r="H14" s="22" t="str">
        <x:v>1</x:v>
      </x:c>
      <x:c r="I14" s="22" t="str">
        <x:v>1</x:v>
      </x:c>
      <x:c r="J14" s="22" t="str">
        <x:v>1</x:v>
      </x:c>
      <x:c r="K14" s="22" t="str">
        <x:v>1</x:v>
      </x:c>
      <x:c r="L14" s="22" t="str">
        <x:v>休</x:v>
      </x:c>
      <x:c r="M14" s="22" t="str">
        <x:v>休</x:v>
      </x:c>
      <x:c r="N14" s="22" t="str">
        <x:v>1</x:v>
      </x:c>
      <x:c r="O14" s="22" t="str">
        <x:v>1</x:v>
      </x:c>
      <x:c r="P14" s="22" t="str">
        <x:v>1</x:v>
      </x:c>
      <x:c r="Q14" s="22" t="str">
        <x:v>1</x:v>
      </x:c>
      <x:c r="R14" s="22" t="str">
        <x:v>1</x:v>
      </x:c>
      <x:c r="S14" s="22" t="str">
        <x:v>休</x:v>
      </x:c>
      <x:c r="T14" s="22" t="str">
        <x:v>休</x:v>
      </x:c>
      <x:c r="U14" s="22" t="str">
        <x:v>1</x:v>
      </x:c>
      <x:c r="V14" s="22" t="str">
        <x:v>1</x:v>
      </x:c>
      <x:c r="W14" s="22" t="str">
        <x:v>1</x:v>
      </x:c>
      <x:c r="X14" s="22" t="str">
        <x:v>1</x:v>
      </x:c>
      <x:c r="Y14" s="22" t="str">
        <x:v>1</x:v>
      </x:c>
      <x:c r="Z14" s="22" t="str">
        <x:v>休</x:v>
      </x:c>
      <x:c r="AA14" s="22" t="str">
        <x:v>休</x:v>
      </x:c>
      <x:c r="AB14" s="22" t="str">
        <x:v>1</x:v>
      </x:c>
      <x:c r="AC14" s="22" t="str">
        <x:v>1</x:v>
      </x:c>
      <x:c r="AD14" s="22" t="str">
        <x:v>1</x:v>
      </x:c>
      <x:c r="AE14" s="22" t="str">
        <x:v>1</x:v>
      </x:c>
      <x:c r="AF14" s="22" t="str">
        <x:v>1</x:v>
      </x:c>
      <x:c r="AG14" s="22" t="str">
        <x:v>休</x:v>
      </x:c>
      <x:c r="AH14" s="22" t="str">
        <x:v>休</x:v>
      </x:c>
      <x:c r="AI14" s="22" t="str">
        <x:v>1</x:v>
      </x:c>
      <x:c r="AJ14" s="21" t="n">
        <x:f>COUNTIF(E14:AI14,"1")</x:f>
        <x:v>21</x:v>
      </x:c>
      <x:c r="AK14" s="21" t="str"/>
      <x:c r="AL14" s="21" t="str"/>
    </x:row>
    <x:row r="15" ht="24" customHeight="1">
      <x:c r="A15" s="26" t="str">
        <x:v>每日上班人力</x:v>
      </x:c>
      <x:c r="B15" s="26"/>
      <x:c r="C15" s="26"/>
      <x:c r="D15" s="26"/>
      <x:c r="E15" s="26" t="n">
        <x:f>COUNTIF(E5:E14,"1")</x:f>
        <x:v>0</x:v>
      </x:c>
      <x:c r="F15" s="26" t="n">
        <x:f>COUNTIF(F5:F14,"1")</x:f>
        <x:v>0</x:v>
      </x:c>
      <x:c r="G15" s="26" t="n">
        <x:f>COUNTIF(G5:G14,"1")</x:f>
        <x:v>10</x:v>
      </x:c>
      <x:c r="H15" s="26" t="n">
        <x:f>COUNTIF(H5:H14,"1")</x:f>
        <x:v>10</x:v>
      </x:c>
      <x:c r="I15" s="26" t="n">
        <x:f>COUNTIF(I5:I14,"1")</x:f>
        <x:v>10</x:v>
      </x:c>
      <x:c r="J15" s="26" t="n">
        <x:f>COUNTIF(J5:J14,"1")</x:f>
        <x:v>10</x:v>
      </x:c>
      <x:c r="K15" s="26" t="n">
        <x:f>COUNTIF(K5:K14,"1")</x:f>
        <x:v>10</x:v>
      </x:c>
      <x:c r="L15" s="26" t="n">
        <x:f>COUNTIF(L5:L14,"1")</x:f>
        <x:v>0</x:v>
      </x:c>
      <x:c r="M15" s="26" t="n">
        <x:f>COUNTIF(M5:M14,"1")</x:f>
        <x:v>0</x:v>
      </x:c>
      <x:c r="N15" s="26" t="n">
        <x:f>COUNTIF(N5:N14,"1")</x:f>
        <x:v>10</x:v>
      </x:c>
      <x:c r="O15" s="26" t="n">
        <x:f>COUNTIF(O5:O14,"1")</x:f>
        <x:v>10</x:v>
      </x:c>
      <x:c r="P15" s="26" t="n">
        <x:f>COUNTIF(P5:P14,"1")</x:f>
        <x:v>10</x:v>
      </x:c>
      <x:c r="Q15" s="26" t="n">
        <x:f>COUNTIF(Q5:Q14,"1")</x:f>
        <x:v>10</x:v>
      </x:c>
      <x:c r="R15" s="26" t="n">
        <x:f>COUNTIF(R5:R14,"1")</x:f>
        <x:v>10</x:v>
      </x:c>
      <x:c r="S15" s="26" t="n">
        <x:f>COUNTIF(S5:S14,"1")</x:f>
        <x:v>0</x:v>
      </x:c>
      <x:c r="T15" s="26" t="n">
        <x:f>COUNTIF(T5:T14,"1")</x:f>
        <x:v>0</x:v>
      </x:c>
      <x:c r="U15" s="26" t="n">
        <x:f>COUNTIF(U5:U14,"1")</x:f>
        <x:v>10</x:v>
      </x:c>
      <x:c r="V15" s="26" t="n">
        <x:f>COUNTIF(V5:V14,"1")</x:f>
        <x:v>10</x:v>
      </x:c>
      <x:c r="W15" s="26" t="n">
        <x:f>COUNTIF(W5:W14,"1")</x:f>
        <x:v>10</x:v>
      </x:c>
      <x:c r="X15" s="26" t="n">
        <x:f>COUNTIF(X5:X14,"1")</x:f>
        <x:v>10</x:v>
      </x:c>
      <x:c r="Y15" s="26" t="n">
        <x:f>COUNTIF(Y5:Y14,"1")</x:f>
        <x:v>10</x:v>
      </x:c>
      <x:c r="Z15" s="26" t="n">
        <x:f>COUNTIF(Z5:Z14,"1")</x:f>
        <x:v>0</x:v>
      </x:c>
      <x:c r="AA15" s="26" t="n">
        <x:f>COUNTIF(AA5:AA14,"1")</x:f>
        <x:v>0</x:v>
      </x:c>
      <x:c r="AB15" s="26" t="n">
        <x:f>COUNTIF(AB5:AB14,"1")</x:f>
        <x:v>10</x:v>
      </x:c>
      <x:c r="AC15" s="26" t="n">
        <x:f>COUNTIF(AC5:AC14,"1")</x:f>
        <x:v>10</x:v>
      </x:c>
      <x:c r="AD15" s="26" t="n">
        <x:f>COUNTIF(AD5:AD14,"1")</x:f>
        <x:v>10</x:v>
      </x:c>
      <x:c r="AE15" s="26" t="n">
        <x:f>COUNTIF(AE5:AE14,"1")</x:f>
        <x:v>10</x:v>
      </x:c>
      <x:c r="AF15" s="26" t="n">
        <x:f>COUNTIF(AF5:AF14,"1")</x:f>
        <x:v>10</x:v>
      </x:c>
      <x:c r="AG15" s="26" t="n">
        <x:f>COUNTIF(AG5:AG14,"1")</x:f>
        <x:v>0</x:v>
      </x:c>
      <x:c r="AH15" s="26" t="n">
        <x:f>COUNTIF(AH5:AH14,"1")</x:f>
        <x:v>0</x:v>
      </x:c>
      <x:c r="AI15" s="26" t="n">
        <x:f>COUNTIF(AI5:AI14,"1")</x:f>
        <x:v>10</x:v>
      </x:c>
      <x:c r="AJ15" s="26" t="str">
        <x:v>確認後上傳至 BOMB HR</x:v>
      </x:c>
      <x:c r="AK15" s="26"/>
      <x:c r="AL15" s="26"/>
    </x:row>
    <x:row r="17" ht="30" customHeight="1">
      <x:c r="A17" s="29" t="str">
        <x:v>代號說明｜1＝依左側班別上班　休＝未排班／公休　空白＝未安排　請假＝由員工申請核准後，系統自動標記並提示需補人</x:v>
      </x:c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  <x:c r="AA17" s="29"/>
      <x:c r="AB17" s="29"/>
      <x:c r="AC17" s="29"/>
      <x:c r="AD17" s="29"/>
      <x:c r="AE17" s="29"/>
      <x:c r="AF17" s="29"/>
      <x:c r="AG17" s="29"/>
      <x:c r="AH17" s="29"/>
      <x:c r="AI17" s="29"/>
      <x:c r="AJ17" s="29"/>
      <x:c r="AK17" s="29"/>
      <x:c r="AL17" s="29"/>
    </x:row>
  </x:sheetData>
  <x:mergeCells>
    <x:mergeCell ref="A1:AL1"/>
    <x:mergeCell ref="D2:AL2"/>
    <x:mergeCell ref="AJ3:AL3"/>
    <x:mergeCell ref="A15:D15"/>
    <x:mergeCell ref="AJ15:AL15"/>
    <x:mergeCell ref="A17:AL17"/>
  </x:mergeCells>
  <x:conditionalFormatting sqref="E5:AI14">
    <x:cfRule type="containsText" dxfId="0" priority="1" operator="containsText" text="休"/>
    <x:cfRule type="containsText" dxfId="1" priority="2" operator="containsText" text="年"/>
    <x:cfRule type="containsText" dxfId="2" priority="3" operator="containsText" text="旅"/>
    <x:cfRule type="containsText" dxfId="3" priority="4" operator="containsText" text="喪"/>
    <x:cfRule type="containsText" dxfId="4" priority="5" operator="containsText" text="婚"/>
    <x:cfRule type="containsText" dxfId="5" priority="6" operator="containsText" text="病"/>
  </x:conditionalFormatting>
  <x:dataValidations count="1">
    <x:dataValidation type="list" sqref="E5:AI14">
      <x:formula1>'假別代號設定'!$A$2:$A$50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3" t="str">
        <x:v>排班代號</x:v>
      </x:c>
      <x:c r="B1" s="33" t="str">
        <x:v>顯示名稱</x:v>
      </x:c>
      <x:c r="D1" s="40" t="str">
        <x:v>自訂方式</x:v>
      </x:c>
      <x:c r="E1" s="40"/>
      <x:c r="F1" s="40"/>
    </x:row>
    <x:row r="2" ht="28" customHeight="1">
      <x:c r="A2" s="37" t="str">
        <x:v>1</x:v>
      </x:c>
      <x:c r="B2" s="36" t="str">
        <x:v>上班</x:v>
      </x:c>
      <x:c r="D2" s="61" t="str">
        <x:v>請從第 9 列開始新增代號與名稱。
月班表的下拉選單會自動讀取 A2:A50，不需重新製作表格。
代號建議使用 1～2 個中文字，避免重複。</x:v>
      </x:c>
      <x:c r="E2" s="62"/>
      <x:c r="F2" s="63"/>
    </x:row>
    <x:row r="3" ht="28" customHeight="1">
      <x:c r="A3" s="37" t="str">
        <x:v>休</x:v>
      </x:c>
      <x:c r="B3" s="36" t="str">
        <x:v>休假／未排班</x:v>
      </x:c>
      <x:c r="D3" s="64"/>
      <x:c r="E3" s="65"/>
      <x:c r="F3" s="66"/>
    </x:row>
    <x:row r="4" ht="28" customHeight="1">
      <x:c r="A4" s="37" t="str">
        <x:v>年</x:v>
      </x:c>
      <x:c r="B4" s="36" t="str">
        <x:v>年假</x:v>
      </x:c>
      <x:c r="D4" s="67"/>
      <x:c r="E4" s="68"/>
      <x:c r="F4" s="69"/>
    </x:row>
    <x:row r="5">
      <x:c r="A5" s="37" t="str">
        <x:v>旅</x:v>
      </x:c>
      <x:c r="B5" s="36" t="str">
        <x:v>旅遊假</x:v>
      </x:c>
    </x:row>
    <x:row r="6">
      <x:c r="A6" s="37" t="str">
        <x:v>喪</x:v>
      </x:c>
      <x:c r="B6" s="36" t="str">
        <x:v>喪假</x:v>
      </x:c>
    </x:row>
    <x:row r="7">
      <x:c r="A7" s="37" t="str">
        <x:v>婚</x:v>
      </x:c>
      <x:c r="B7" s="36" t="str">
        <x:v>婚假</x:v>
      </x:c>
    </x:row>
    <x:row r="8">
      <x:c r="A8" s="37" t="str">
        <x:v>病</x:v>
      </x:c>
      <x:c r="B8" s="36" t="str">
        <x:v>病假</x:v>
      </x:c>
    </x:row>
    <x:row r="9">
      <x:c r="A9" s="37"/>
      <x:c r="B9" s="36"/>
    </x:row>
    <x:row r="10">
      <x:c r="A10" s="37"/>
      <x:c r="B10" s="36"/>
    </x:row>
    <x:row r="11">
      <x:c r="A11" s="37"/>
      <x:c r="B11" s="36"/>
    </x:row>
    <x:row r="12">
      <x:c r="A12" s="37"/>
      <x:c r="B12" s="36"/>
    </x:row>
    <x:row r="13">
      <x:c r="A13" s="37"/>
      <x:c r="B13" s="36"/>
    </x:row>
    <x:row r="14">
      <x:c r="A14" s="37"/>
      <x:c r="B14" s="36"/>
    </x:row>
    <x:row r="15">
      <x:c r="A15" s="37"/>
      <x:c r="B15" s="36"/>
    </x:row>
    <x:row r="16">
      <x:c r="A16" s="37"/>
      <x:c r="B16" s="36"/>
    </x:row>
    <x:row r="17">
      <x:c r="A17" s="37"/>
      <x:c r="B17" s="36"/>
    </x:row>
    <x:row r="18">
      <x:c r="A18" s="37"/>
      <x:c r="B18" s="36"/>
    </x:row>
    <x:row r="19">
      <x:c r="A19" s="37"/>
      <x:c r="B19" s="36"/>
    </x:row>
    <x:row r="20">
      <x:c r="A20" s="37"/>
      <x:c r="B20" s="36"/>
    </x:row>
    <x:row r="21">
      <x:c r="A21" s="37"/>
      <x:c r="B21" s="36"/>
    </x:row>
    <x:row r="22">
      <x:c r="A22" s="37"/>
      <x:c r="B22" s="36"/>
    </x:row>
    <x:row r="23">
      <x:c r="A23" s="37"/>
      <x:c r="B23" s="36"/>
    </x:row>
    <x:row r="24">
      <x:c r="A24" s="37"/>
      <x:c r="B24" s="36"/>
    </x:row>
    <x:row r="25">
      <x:c r="A25" s="37"/>
      <x:c r="B25" s="36"/>
    </x:row>
    <x:row r="26">
      <x:c r="A26" s="37"/>
      <x:c r="B26" s="36"/>
    </x:row>
    <x:row r="27">
      <x:c r="A27" s="37"/>
      <x:c r="B27" s="36"/>
    </x:row>
    <x:row r="28">
      <x:c r="A28" s="37"/>
      <x:c r="B28" s="36"/>
    </x:row>
    <x:row r="29">
      <x:c r="A29" s="37"/>
      <x:c r="B29" s="36"/>
    </x:row>
    <x:row r="30">
      <x:c r="A30" s="37"/>
      <x:c r="B30" s="36"/>
    </x:row>
    <x:row r="31">
      <x:c r="A31" s="37"/>
      <x:c r="B31" s="36"/>
    </x:row>
    <x:row r="32">
      <x:c r="A32" s="37"/>
      <x:c r="B32" s="36"/>
    </x:row>
    <x:row r="33">
      <x:c r="A33" s="37"/>
      <x:c r="B33" s="36"/>
    </x:row>
    <x:row r="34">
      <x:c r="A34" s="37"/>
      <x:c r="B34" s="36"/>
    </x:row>
    <x:row r="35">
      <x:c r="A35" s="37"/>
      <x:c r="B35" s="36"/>
    </x:row>
    <x:row r="36">
      <x:c r="A36" s="37"/>
      <x:c r="B36" s="36"/>
    </x:row>
    <x:row r="37">
      <x:c r="A37" s="37"/>
      <x:c r="B37" s="36"/>
    </x:row>
    <x:row r="38">
      <x:c r="A38" s="37"/>
      <x:c r="B38" s="36"/>
    </x:row>
    <x:row r="39">
      <x:c r="A39" s="37"/>
      <x:c r="B39" s="36"/>
    </x:row>
    <x:row r="40">
      <x:c r="A40" s="37"/>
      <x:c r="B40" s="36"/>
    </x:row>
    <x:row r="41">
      <x:c r="A41" s="37"/>
      <x:c r="B41" s="36"/>
    </x:row>
    <x:row r="42">
      <x:c r="A42" s="37"/>
      <x:c r="B42" s="36"/>
    </x:row>
    <x:row r="43">
      <x:c r="A43" s="37"/>
      <x:c r="B43" s="36"/>
    </x:row>
    <x:row r="44">
      <x:c r="A44" s="37"/>
      <x:c r="B44" s="36"/>
    </x:row>
    <x:row r="45">
      <x:c r="A45" s="37"/>
      <x:c r="B45" s="36"/>
    </x:row>
    <x:row r="46">
      <x:c r="A46" s="37"/>
      <x:c r="B46" s="36"/>
    </x:row>
    <x:row r="47">
      <x:c r="A47" s="37"/>
      <x:c r="B47" s="36"/>
    </x:row>
    <x:row r="48">
      <x:c r="A48" s="37"/>
      <x:c r="B48" s="36"/>
    </x:row>
    <x:row r="49">
      <x:c r="A49" s="37"/>
      <x:c r="B49" s="36"/>
    </x:row>
    <x:row r="50">
      <x:c r="A50" s="37"/>
      <x:c r="B50" s="36"/>
    </x:row>
  </x:sheetData>
  <x:mergeCells>
    <x:mergeCell ref="D1:F1"/>
    <x:mergeCell ref="D2:F4"/>
  </x:mergeCells>
  <x:pageMargins left="0.7" right="0.7" top="0.75" bottom="0.75" header="0.3" footer="0.3"/>
</x:worksheet>
</file>